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P:\ClassicalMusic\Documents\"/>
    </mc:Choice>
  </mc:AlternateContent>
  <xr:revisionPtr revIDLastSave="0" documentId="13_ncr:1_{CCBAB8D1-3B4B-4C8E-B4BA-D6EB9E3FC714}" xr6:coauthVersionLast="47" xr6:coauthVersionMax="47" xr10:uidLastSave="{00000000-0000-0000-0000-000000000000}"/>
  <bookViews>
    <workbookView xWindow="-120" yWindow="-120" windowWidth="20730" windowHeight="11160" activeTab="1" xr2:uid="{EFEBA440-645A-481A-A4A5-DA94999A9771}"/>
  </bookViews>
  <sheets>
    <sheet name="Thaat" sheetId="2" r:id="rId1"/>
    <sheet name="Sheet1" sheetId="1"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5" i="1" l="1"/>
  <c r="N6" i="1"/>
  <c r="N7" i="1"/>
  <c r="N8" i="1"/>
  <c r="N9" i="1"/>
  <c r="N10" i="1"/>
  <c r="N11" i="1"/>
  <c r="N12" i="1"/>
  <c r="N13" i="1"/>
  <c r="N14" i="1"/>
  <c r="N15" i="1"/>
  <c r="N16" i="1"/>
  <c r="N17" i="1"/>
  <c r="N18" i="1"/>
  <c r="N4" i="1"/>
  <c r="A3" i="1"/>
  <c r="N3" i="1"/>
  <c r="C19" i="2"/>
  <c r="G2" i="2"/>
  <c r="G3" i="2"/>
  <c r="G4" i="2"/>
  <c r="G5" i="2"/>
  <c r="G6" i="2"/>
  <c r="G7" i="2"/>
  <c r="G8" i="2"/>
  <c r="G9" i="2"/>
  <c r="G10" i="2"/>
  <c r="G1" i="2"/>
</calcChain>
</file>

<file path=xl/sharedStrings.xml><?xml version="1.0" encoding="utf-8"?>
<sst xmlns="http://schemas.openxmlformats.org/spreadsheetml/2006/main" count="201" uniqueCount="138">
  <si>
    <t>Yaman</t>
  </si>
  <si>
    <t>1st prahar of the evening (7 pm - 10 pm)</t>
  </si>
  <si>
    <t>Happy, Romantic, Devotional</t>
  </si>
  <si>
    <t>Ṇ R G Ḿ D N Ṡ</t>
  </si>
  <si>
    <t>Ṡ N D P Ḿ G R S</t>
  </si>
  <si>
    <t>Ṇ R Ṇ G, Ḿ G R, Ṇ R S</t>
  </si>
  <si>
    <t>G</t>
  </si>
  <si>
    <t>N</t>
  </si>
  <si>
    <t>NULL</t>
  </si>
  <si>
    <t>Raag Yaman is a serene and majestic evening raga known for its romantic and devotional mood. It prominently uses Tivra Ma (sharp Ma), giving it a bright and uplifting character. Sadaj and Pancham are not being used during Aroh and it starts with Nishad instead of Sadaj</t>
  </si>
  <si>
    <t>S G P N</t>
  </si>
  <si>
    <t>Shaadav-Sampoorna</t>
  </si>
  <si>
    <t>ID</t>
  </si>
  <si>
    <t>RaagaName</t>
  </si>
  <si>
    <t>RaagaTime</t>
  </si>
  <si>
    <t>Mood</t>
  </si>
  <si>
    <t>Aroh</t>
  </si>
  <si>
    <t>Avroh</t>
  </si>
  <si>
    <t>Pakad</t>
  </si>
  <si>
    <t>Vadi</t>
  </si>
  <si>
    <t>Samvadi</t>
  </si>
  <si>
    <t>ThaatID</t>
  </si>
  <si>
    <t>RaagaDesc</t>
  </si>
  <si>
    <t>NyasaSwara</t>
  </si>
  <si>
    <t>Jati</t>
  </si>
  <si>
    <t>Bilawal</t>
  </si>
  <si>
    <t>Considered the basic thaat, all shuddha (natural) notes.</t>
  </si>
  <si>
    <t>Kalyan</t>
  </si>
  <si>
    <t>Lydian mode; Tivra Ma.</t>
  </si>
  <si>
    <t>Khamaj</t>
  </si>
  <si>
    <t>Like Mixolydian mode; Komal Ni.</t>
  </si>
  <si>
    <t>Kafi</t>
  </si>
  <si>
    <t>Similar to Dorian mode; Komal Ga and Ni.</t>
  </si>
  <si>
    <t>Marwa</t>
  </si>
  <si>
    <t>Komal Re and Tivra Ma – creates tension.</t>
  </si>
  <si>
    <t>Bhairav</t>
  </si>
  <si>
    <t>Komal Re and Komal Dha with strong Bhakti (devotional) mood.</t>
  </si>
  <si>
    <t>Asavari</t>
  </si>
  <si>
    <t>Komal Ga, Dha, and Ni.</t>
  </si>
  <si>
    <t>Bhairavi</t>
  </si>
  <si>
    <t>Komal Re, Ga, Dha, Ni – very expressive and used widely.</t>
  </si>
  <si>
    <t>Poorvi</t>
  </si>
  <si>
    <t>Komal Re, Dha and Tivra Ma – serious and intense.</t>
  </si>
  <si>
    <t>Todi</t>
  </si>
  <si>
    <t>Komal Re, Ga, Dha and Tivra Ma – very emotional and deep.</t>
  </si>
  <si>
    <t>Jog</t>
  </si>
  <si>
    <t>P</t>
  </si>
  <si>
    <t>S</t>
  </si>
  <si>
    <r>
      <t>Bright, joyful, natural notes (</t>
    </r>
    <r>
      <rPr>
        <i/>
        <sz val="11"/>
        <color theme="1"/>
        <rFont val="Calibri"/>
        <family val="2"/>
        <scheme val="minor"/>
      </rPr>
      <t>shuddha swaras</t>
    </r>
    <r>
      <rPr>
        <sz val="11"/>
        <color theme="1"/>
        <rFont val="Calibri"/>
        <family val="2"/>
        <scheme val="minor"/>
      </rPr>
      <t>)</t>
    </r>
  </si>
  <si>
    <r>
      <t>Serene, devotional, with brilliance (</t>
    </r>
    <r>
      <rPr>
        <i/>
        <sz val="11"/>
        <color theme="1"/>
        <rFont val="Calibri"/>
        <family val="2"/>
        <scheme val="minor"/>
      </rPr>
      <t>teevra Ma</t>
    </r>
    <r>
      <rPr>
        <sz val="11"/>
        <color theme="1"/>
        <rFont val="Calibri"/>
        <family val="2"/>
        <scheme val="minor"/>
      </rPr>
      <t>)</t>
    </r>
  </si>
  <si>
    <r>
      <t>Romantic, sensuous (</t>
    </r>
    <r>
      <rPr>
        <i/>
        <sz val="11"/>
        <color theme="1"/>
        <rFont val="Calibri"/>
        <family val="2"/>
        <scheme val="minor"/>
      </rPr>
      <t>komal Ni</t>
    </r>
    <r>
      <rPr>
        <sz val="11"/>
        <color theme="1"/>
        <rFont val="Calibri"/>
        <family val="2"/>
        <scheme val="minor"/>
      </rPr>
      <t>)</t>
    </r>
  </si>
  <si>
    <r>
      <t>Folk-like, soulful (</t>
    </r>
    <r>
      <rPr>
        <i/>
        <sz val="11"/>
        <color theme="1"/>
        <rFont val="Calibri"/>
        <family val="2"/>
        <scheme val="minor"/>
      </rPr>
      <t>komal Ga, Ni</t>
    </r>
    <r>
      <rPr>
        <sz val="11"/>
        <color theme="1"/>
        <rFont val="Calibri"/>
        <family val="2"/>
        <scheme val="minor"/>
      </rPr>
      <t>)</t>
    </r>
  </si>
  <si>
    <r>
      <t>Emotional, serious (</t>
    </r>
    <r>
      <rPr>
        <i/>
        <sz val="11"/>
        <color theme="1"/>
        <rFont val="Calibri"/>
        <family val="2"/>
        <scheme val="minor"/>
      </rPr>
      <t>komal Ga, Dha, Ni</t>
    </r>
    <r>
      <rPr>
        <sz val="11"/>
        <color theme="1"/>
        <rFont val="Calibri"/>
        <family val="2"/>
        <scheme val="minor"/>
      </rPr>
      <t>)</t>
    </r>
  </si>
  <si>
    <r>
      <t>Austere, meditative (</t>
    </r>
    <r>
      <rPr>
        <i/>
        <sz val="11"/>
        <color theme="1"/>
        <rFont val="Calibri"/>
        <family val="2"/>
        <scheme val="minor"/>
      </rPr>
      <t>komal Re, Dha</t>
    </r>
    <r>
      <rPr>
        <sz val="11"/>
        <color theme="1"/>
        <rFont val="Calibri"/>
        <family val="2"/>
        <scheme val="minor"/>
      </rPr>
      <t>)</t>
    </r>
  </si>
  <si>
    <r>
      <t xml:space="preserve">Devotional, pathos-filled (4 </t>
    </r>
    <r>
      <rPr>
        <i/>
        <sz val="11"/>
        <color theme="1"/>
        <rFont val="Calibri"/>
        <family val="2"/>
        <scheme val="minor"/>
      </rPr>
      <t>komal swaras</t>
    </r>
    <r>
      <rPr>
        <sz val="11"/>
        <color theme="1"/>
        <rFont val="Calibri"/>
        <family val="2"/>
        <scheme val="minor"/>
      </rPr>
      <t>)</t>
    </r>
  </si>
  <si>
    <r>
      <t>Intense, serious (</t>
    </r>
    <r>
      <rPr>
        <i/>
        <sz val="11"/>
        <color theme="1"/>
        <rFont val="Calibri"/>
        <family val="2"/>
        <scheme val="minor"/>
      </rPr>
      <t>komal Re, teevra Ma</t>
    </r>
    <r>
      <rPr>
        <sz val="11"/>
        <color theme="1"/>
        <rFont val="Calibri"/>
        <family val="2"/>
        <scheme val="minor"/>
      </rPr>
      <t>)</t>
    </r>
  </si>
  <si>
    <r>
      <t>Mysterious, grave (</t>
    </r>
    <r>
      <rPr>
        <i/>
        <sz val="11"/>
        <color theme="1"/>
        <rFont val="Calibri"/>
        <family val="2"/>
        <scheme val="minor"/>
      </rPr>
      <t>komal Re, Dha + teevra Ma</t>
    </r>
    <r>
      <rPr>
        <sz val="11"/>
        <color theme="1"/>
        <rFont val="Calibri"/>
        <family val="2"/>
        <scheme val="minor"/>
      </rPr>
      <t>)</t>
    </r>
  </si>
  <si>
    <r>
      <t>Complex, poignant (</t>
    </r>
    <r>
      <rPr>
        <i/>
        <sz val="11"/>
        <color theme="1"/>
        <rFont val="Calibri"/>
        <family val="2"/>
        <scheme val="minor"/>
      </rPr>
      <t>komal Re, Ga, Dha + teevra Ma</t>
    </r>
    <r>
      <rPr>
        <sz val="11"/>
        <color theme="1"/>
        <rFont val="Calibri"/>
        <family val="2"/>
        <scheme val="minor"/>
      </rPr>
      <t>)</t>
    </r>
  </si>
  <si>
    <t>P̣ ḍ Ḍ ṇ Ṇ S r R g G M Ḿ P d D n N Ṡ ṙ Ṙ  ġ Ġ ṁ Ṁ Ṗ</t>
  </si>
  <si>
    <t>S R G M P D N Ṡ</t>
  </si>
  <si>
    <t>S R G M  P D n Ṡ</t>
  </si>
  <si>
    <t>S R g M P D n Ṡ</t>
  </si>
  <si>
    <t>S R g M P d n Ṡ</t>
  </si>
  <si>
    <t>S R G Ḿ P D N Ṡ</t>
  </si>
  <si>
    <t>S r G M P d N Ṡ</t>
  </si>
  <si>
    <t>S r g M P d n Ṡ</t>
  </si>
  <si>
    <t>S r G Ḿ P D N Ṡ</t>
  </si>
  <si>
    <t>S r G Ḿ P d N Ṡ</t>
  </si>
  <si>
    <t>S r g Ḿ P d N Ṡ</t>
  </si>
  <si>
    <t>Ṡ N d P Ḿ g r S</t>
  </si>
  <si>
    <t>Ṡ N d P Ḿ G r S</t>
  </si>
  <si>
    <t>Ṡ N D P Ḿ G r S</t>
  </si>
  <si>
    <t>Ṡ N D P M G R S</t>
  </si>
  <si>
    <t>Ṡ n D P M G R S</t>
  </si>
  <si>
    <t>Ṡ N d P M G r S</t>
  </si>
  <si>
    <t>Ṡ n d P M g R S</t>
  </si>
  <si>
    <t>Ṡ n D P M g R S</t>
  </si>
  <si>
    <t>Ṡ n d P M g r S</t>
  </si>
  <si>
    <t>INSERT INTO Raaga (</t>
  </si>
  <si>
    <t>Audav–Shadav</t>
  </si>
  <si>
    <t>Late night (2nd prahar of night)</t>
  </si>
  <si>
    <t>Thaat</t>
  </si>
  <si>
    <t>Romantic, Mysterious</t>
  </si>
  <si>
    <t xml:space="preserve">S G M P n Ṡ </t>
  </si>
  <si>
    <t>M</t>
  </si>
  <si>
    <t>G M P, n P, M G M g S</t>
  </si>
  <si>
    <t>M S n</t>
  </si>
  <si>
    <t>Jog is special because it uses both shuddha and komal Ga, giving it a unique and haunting sweetness.</t>
  </si>
  <si>
    <t>Bhupali</t>
  </si>
  <si>
    <t>Audav–Audav</t>
  </si>
  <si>
    <t>Evening (1st prahar of night, 6–9 pm)</t>
  </si>
  <si>
    <t>Peaceful, Devotional</t>
  </si>
  <si>
    <t>G R, G P, D P, G R S</t>
  </si>
  <si>
    <t>D</t>
  </si>
  <si>
    <t>G D S</t>
  </si>
  <si>
    <t xml:space="preserve">S R G P D Ṡ </t>
  </si>
  <si>
    <t>Ṡ D P G R S</t>
  </si>
  <si>
    <t>Raag Bhupali is a serene pentatonic raga of the Kalyan thaat, evoking devotion and peace with its simple yet majestic structure.
It omits Ma and Ni, and rests mainly on Ga, Dha, and Sa, giving it a prayerful and meditative character.</t>
  </si>
  <si>
    <t>Audav–Sampurna</t>
  </si>
  <si>
    <t>Bhimpalasi</t>
  </si>
  <si>
    <t>Afternoon (2nd prahar, around 12–3 pm)</t>
  </si>
  <si>
    <t>Romantic, Devotional, Viraha</t>
  </si>
  <si>
    <t>ṇ S g M P n Ṡ</t>
  </si>
  <si>
    <t>ṇ S, g M P, n Ṡ; P M g R S</t>
  </si>
  <si>
    <t>Raag Bhimpalasi is a soulful afternoon raga of Kafi thaat, filled with devotion and longing.
Its essence lies in the plaintive use of komal Ga and Ni, with repose on Ma and Sa.</t>
  </si>
  <si>
    <t xml:space="preserve">Shivaranjani </t>
  </si>
  <si>
    <t>Sad, Devotional, Romantic</t>
  </si>
  <si>
    <t>R g P ; D P g R ; g S R D S ;</t>
  </si>
  <si>
    <t>2nd Prahar of the Night (9PM to 12AM) or Midnight</t>
  </si>
  <si>
    <t>Raag Shivranjani is a very melodious and straightforward Raag. This Raag is similar to Raag Bhoopali but has Gandhar Komal instead of Shuddha Gandhar. It can be expanded freely in all the three octaves.</t>
  </si>
  <si>
    <t>P S</t>
  </si>
  <si>
    <t>Ṡ n P M G M g S, S</t>
  </si>
  <si>
    <t>Hansdhwani</t>
  </si>
  <si>
    <t>Audhav - Audhav</t>
  </si>
  <si>
    <t>Madhyam and Dhaivat Varjya. Rest all Shuddha Swaras.</t>
  </si>
  <si>
    <t>G P N - S' N P G;</t>
  </si>
  <si>
    <t>2nd Prahar of the Night (9PM to 12AM)</t>
  </si>
  <si>
    <t>S R g P D Ṡ</t>
  </si>
  <si>
    <t>Ṡ D P g R S; R, Ḍ S</t>
  </si>
  <si>
    <t>S R G P N Ṡ</t>
  </si>
  <si>
    <t>Ṇ RG P G R G P N Ṡ; Ṡ N P G R G P G R S;</t>
  </si>
  <si>
    <t xml:space="preserve"> Ṡ N P G R S Ṇ, P Ṇ R S</t>
  </si>
  <si>
    <t>Pilu</t>
  </si>
  <si>
    <t>S; G; P; N; - n; P; g;</t>
  </si>
  <si>
    <t>Audhav - Sampurna</t>
  </si>
  <si>
    <t>3rd Prahar of the Day (12PM to 3PM)</t>
  </si>
  <si>
    <t>Devotional, Piety</t>
  </si>
  <si>
    <t>Rishabh and Dhaivat Varjya in Aaroh. Both Gandhars, Both Dhaivats, Both Nishads. Rest all Shuddha Swaras. In this Raag Komal Nishad is used with Shuddha Dhaivat and Shuddha Nishad is used with Komal Dhaivat. This Raag is expandable in Mandra and Madhya Octaves.</t>
  </si>
  <si>
    <t>Gandhar and Nishad Varjya. Rest all Shuddha Swaras.</t>
  </si>
  <si>
    <t>M P D ; M R ,D S ; R R P;</t>
  </si>
  <si>
    <t>S G M P N Ṡ</t>
  </si>
  <si>
    <t>Ṡ n D P M g R S ; ,N S g R S ;</t>
  </si>
  <si>
    <t>G M P N Ṡ ; n D P ; M P N d P ; M g R S ; P g R S ,N ; S g R S ;</t>
  </si>
  <si>
    <t>S R M P D Ṡ</t>
  </si>
  <si>
    <t>Ṡ D P D M R S Ḍ S</t>
  </si>
  <si>
    <t>M P D ; M R Ḍ S ; R R P;</t>
  </si>
  <si>
    <t>Durga</t>
  </si>
  <si>
    <t>Cheerful, Devotional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</si>
</sst>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5"/>
      <color rgb="FF000000"/>
      <name val="Segoe UI"/>
      <family val="2"/>
    </font>
    <font>
      <b/>
      <sz val="11"/>
      <color theme="1"/>
      <name val="Calibri"/>
      <family val="2"/>
      <scheme val="minor"/>
    </font>
    <font>
      <sz val="11"/>
      <color theme="0"/>
      <name val="Calibri"/>
      <family val="2"/>
      <scheme val="minor"/>
    </font>
    <font>
      <i/>
      <sz val="11"/>
      <color theme="1"/>
      <name val="Calibri"/>
      <family val="2"/>
      <scheme val="minor"/>
    </font>
  </fonts>
  <fills count="5">
    <fill>
      <patternFill patternType="none"/>
    </fill>
    <fill>
      <patternFill patternType="gray125"/>
    </fill>
    <fill>
      <patternFill patternType="solid">
        <fgColor theme="1"/>
        <bgColor indexed="64"/>
      </patternFill>
    </fill>
    <fill>
      <patternFill patternType="solid">
        <fgColor theme="0" tint="-0.249977111117893"/>
        <bgColor indexed="64"/>
      </patternFill>
    </fill>
    <fill>
      <patternFill patternType="solid">
        <fgColor theme="9"/>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center" wrapText="1"/>
    </xf>
    <xf numFmtId="0" fontId="2" fillId="0" borderId="0" xfId="0" applyFont="1" applyAlignment="1">
      <alignment vertical="center" wrapText="1"/>
    </xf>
    <xf numFmtId="0" fontId="3" fillId="2" borderId="0" xfId="0" applyFont="1" applyFill="1"/>
    <xf numFmtId="0" fontId="3" fillId="3" borderId="0" xfId="0" applyFont="1" applyFill="1"/>
    <xf numFmtId="0" fontId="0" fillId="4" borderId="0" xfId="0"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CF824-8FDB-4681-8345-C8E65764B98D}">
  <dimension ref="A1:K23"/>
  <sheetViews>
    <sheetView workbookViewId="0">
      <selection activeCell="D16" sqref="D16"/>
    </sheetView>
  </sheetViews>
  <sheetFormatPr defaultColWidth="50.7109375" defaultRowHeight="15" x14ac:dyDescent="0.25"/>
  <cols>
    <col min="1" max="1" width="8.140625" bestFit="1" customWidth="1"/>
    <col min="2" max="2" width="8.85546875" customWidth="1"/>
    <col min="3" max="3" width="13.42578125" customWidth="1"/>
    <col min="5" max="5" width="18.140625" customWidth="1"/>
    <col min="6" max="6" width="18.5703125" customWidth="1"/>
  </cols>
  <sheetData>
    <row r="1" spans="1:11" x14ac:dyDescent="0.25">
      <c r="A1" s="3" t="s">
        <v>25</v>
      </c>
      <c r="B1">
        <v>1</v>
      </c>
      <c r="C1" s="3" t="s">
        <v>25</v>
      </c>
      <c r="D1" s="2" t="s">
        <v>48</v>
      </c>
      <c r="E1" s="2" t="s">
        <v>59</v>
      </c>
      <c r="F1" s="2" t="s">
        <v>72</v>
      </c>
      <c r="G1" t="str">
        <f>_xlfn.CONCAT("UPDATE Thhat SET ThaatName=N'", C1,"', ThaatDesc=N'",D1,"',Aroh=N'",E1,"', Avroh=N'",F1,"' WHERE ID=",B1)</f>
        <v>UPDATE Thhat SET ThaatName=N'Bilawal', ThaatDesc=N'Bright, joyful, natural notes (shuddha swaras)',Aroh=N'S R G M P D N Ṡ', Avroh=N'Ṡ N D P M G R S' WHERE ID=1</v>
      </c>
    </row>
    <row r="2" spans="1:11" x14ac:dyDescent="0.25">
      <c r="A2" s="3" t="s">
        <v>27</v>
      </c>
      <c r="B2">
        <v>2</v>
      </c>
      <c r="C2" s="3" t="s">
        <v>27</v>
      </c>
      <c r="D2" s="2" t="s">
        <v>49</v>
      </c>
      <c r="E2" s="2" t="s">
        <v>63</v>
      </c>
      <c r="F2" s="2" t="s">
        <v>4</v>
      </c>
      <c r="G2" t="str">
        <f t="shared" ref="G2:G10" si="0">_xlfn.CONCAT("UPDATE Thhat SET ThaatName=N'", C2,"', ThaatDesc=N'",D2,"',Aroh=N'",E2,"', Avroh=N'",F2,"' WHERE ID=",B2)</f>
        <v>UPDATE Thhat SET ThaatName=N'Kalyan', ThaatDesc=N'Serene, devotional, with brilliance (teevra Ma)',Aroh=N'S R G Ḿ P D N Ṡ', Avroh=N'Ṡ N D P Ḿ G R S' WHERE ID=2</v>
      </c>
    </row>
    <row r="3" spans="1:11" x14ac:dyDescent="0.25">
      <c r="A3" s="3" t="s">
        <v>29</v>
      </c>
      <c r="B3">
        <v>3</v>
      </c>
      <c r="C3" s="3" t="s">
        <v>29</v>
      </c>
      <c r="D3" s="2" t="s">
        <v>50</v>
      </c>
      <c r="E3" s="2" t="s">
        <v>60</v>
      </c>
      <c r="F3" s="2" t="s">
        <v>73</v>
      </c>
      <c r="G3" t="str">
        <f t="shared" si="0"/>
        <v>UPDATE Thhat SET ThaatName=N'Khamaj', ThaatDesc=N'Romantic, sensuous (komal Ni)',Aroh=N'S R G M  P D n Ṡ', Avroh=N'Ṡ n D P M G R S' WHERE ID=3</v>
      </c>
    </row>
    <row r="4" spans="1:11" x14ac:dyDescent="0.25">
      <c r="A4" s="3" t="s">
        <v>31</v>
      </c>
      <c r="B4">
        <v>4</v>
      </c>
      <c r="C4" s="3" t="s">
        <v>31</v>
      </c>
      <c r="D4" s="2" t="s">
        <v>51</v>
      </c>
      <c r="E4" s="2" t="s">
        <v>61</v>
      </c>
      <c r="F4" s="2" t="s">
        <v>76</v>
      </c>
      <c r="G4" t="str">
        <f t="shared" si="0"/>
        <v>UPDATE Thhat SET ThaatName=N'Kafi', ThaatDesc=N'Folk-like, soulful (komal Ga, Ni)',Aroh=N'S R g M P D n Ṡ', Avroh=N'Ṡ n D P M g R S' WHERE ID=4</v>
      </c>
    </row>
    <row r="5" spans="1:11" x14ac:dyDescent="0.25">
      <c r="A5" s="3" t="s">
        <v>37</v>
      </c>
      <c r="B5">
        <v>5</v>
      </c>
      <c r="C5" s="3" t="s">
        <v>37</v>
      </c>
      <c r="D5" s="2" t="s">
        <v>52</v>
      </c>
      <c r="E5" s="2" t="s">
        <v>62</v>
      </c>
      <c r="F5" s="2" t="s">
        <v>75</v>
      </c>
      <c r="G5" t="str">
        <f t="shared" si="0"/>
        <v>UPDATE Thhat SET ThaatName=N'Asavari', ThaatDesc=N'Emotional, serious (komal Ga, Dha, Ni)',Aroh=N'S R g M P d n Ṡ', Avroh=N'Ṡ n d P M g R S' WHERE ID=5</v>
      </c>
    </row>
    <row r="6" spans="1:11" x14ac:dyDescent="0.25">
      <c r="A6" s="3" t="s">
        <v>35</v>
      </c>
      <c r="B6">
        <v>6</v>
      </c>
      <c r="C6" s="3" t="s">
        <v>35</v>
      </c>
      <c r="D6" s="2" t="s">
        <v>53</v>
      </c>
      <c r="E6" s="2" t="s">
        <v>64</v>
      </c>
      <c r="F6" s="2" t="s">
        <v>74</v>
      </c>
      <c r="G6" t="str">
        <f t="shared" si="0"/>
        <v>UPDATE Thhat SET ThaatName=N'Bhairav', ThaatDesc=N'Austere, meditative (komal Re, Dha)',Aroh=N'S r G M P d N Ṡ', Avroh=N'Ṡ N d P M G r S' WHERE ID=6</v>
      </c>
    </row>
    <row r="7" spans="1:11" x14ac:dyDescent="0.25">
      <c r="A7" s="3" t="s">
        <v>39</v>
      </c>
      <c r="B7">
        <v>7</v>
      </c>
      <c r="C7" s="3" t="s">
        <v>39</v>
      </c>
      <c r="D7" s="2" t="s">
        <v>54</v>
      </c>
      <c r="E7" s="2" t="s">
        <v>65</v>
      </c>
      <c r="F7" s="2" t="s">
        <v>77</v>
      </c>
      <c r="G7" t="str">
        <f t="shared" si="0"/>
        <v>UPDATE Thhat SET ThaatName=N'Bhairavi', ThaatDesc=N'Devotional, pathos-filled (4 komal swaras)',Aroh=N'S r g M P d n Ṡ', Avroh=N'Ṡ n d P M g r S' WHERE ID=7</v>
      </c>
    </row>
    <row r="8" spans="1:11" x14ac:dyDescent="0.25">
      <c r="A8" s="3" t="s">
        <v>33</v>
      </c>
      <c r="B8">
        <v>8</v>
      </c>
      <c r="C8" s="3" t="s">
        <v>33</v>
      </c>
      <c r="D8" s="2" t="s">
        <v>55</v>
      </c>
      <c r="E8" s="2" t="s">
        <v>66</v>
      </c>
      <c r="F8" s="2" t="s">
        <v>71</v>
      </c>
      <c r="G8" t="str">
        <f t="shared" si="0"/>
        <v>UPDATE Thhat SET ThaatName=N'Marwa', ThaatDesc=N'Intense, serious (komal Re, teevra Ma)',Aroh=N'S r G Ḿ P D N Ṡ', Avroh=N'Ṡ N D P Ḿ G r S' WHERE ID=8</v>
      </c>
    </row>
    <row r="9" spans="1:11" x14ac:dyDescent="0.25">
      <c r="A9" s="3" t="s">
        <v>41</v>
      </c>
      <c r="B9">
        <v>9</v>
      </c>
      <c r="C9" s="3" t="s">
        <v>41</v>
      </c>
      <c r="D9" s="2" t="s">
        <v>56</v>
      </c>
      <c r="E9" s="2" t="s">
        <v>67</v>
      </c>
      <c r="F9" s="2" t="s">
        <v>70</v>
      </c>
      <c r="G9" t="str">
        <f t="shared" si="0"/>
        <v>UPDATE Thhat SET ThaatName=N'Poorvi', ThaatDesc=N'Mysterious, grave (komal Re, Dha + teevra Ma)',Aroh=N'S r G Ḿ P d N Ṡ', Avroh=N'Ṡ N d P Ḿ G r S' WHERE ID=9</v>
      </c>
    </row>
    <row r="10" spans="1:11" x14ac:dyDescent="0.25">
      <c r="A10" s="3" t="s">
        <v>43</v>
      </c>
      <c r="B10">
        <v>10</v>
      </c>
      <c r="C10" s="3" t="s">
        <v>43</v>
      </c>
      <c r="D10" s="2" t="s">
        <v>57</v>
      </c>
      <c r="E10" s="2" t="s">
        <v>68</v>
      </c>
      <c r="F10" s="2" t="s">
        <v>69</v>
      </c>
      <c r="G10" t="str">
        <f t="shared" si="0"/>
        <v>UPDATE Thhat SET ThaatName=N'Todi', ThaatDesc=N'Complex, poignant (komal Re, Ga, Dha + teevra Ma)',Aroh=N'S r g Ḿ P d N Ṡ', Avroh=N'Ṡ N d P Ḿ g r S' WHERE ID=10</v>
      </c>
    </row>
    <row r="14" spans="1:11" x14ac:dyDescent="0.25">
      <c r="E14">
        <v>1</v>
      </c>
      <c r="F14" t="s">
        <v>25</v>
      </c>
      <c r="G14" t="s">
        <v>26</v>
      </c>
      <c r="H14">
        <v>1</v>
      </c>
      <c r="I14">
        <v>1</v>
      </c>
      <c r="J14" t="s">
        <v>8</v>
      </c>
      <c r="K14" t="s">
        <v>8</v>
      </c>
    </row>
    <row r="15" spans="1:11" x14ac:dyDescent="0.25">
      <c r="E15">
        <v>2</v>
      </c>
      <c r="F15" t="s">
        <v>27</v>
      </c>
      <c r="G15" t="s">
        <v>28</v>
      </c>
      <c r="H15">
        <v>1</v>
      </c>
      <c r="I15">
        <v>1</v>
      </c>
      <c r="J15" t="s">
        <v>8</v>
      </c>
      <c r="K15" t="s">
        <v>8</v>
      </c>
    </row>
    <row r="16" spans="1:11" x14ac:dyDescent="0.25">
      <c r="D16" t="s">
        <v>58</v>
      </c>
      <c r="E16">
        <v>3</v>
      </c>
      <c r="F16" t="s">
        <v>29</v>
      </c>
      <c r="G16" t="s">
        <v>30</v>
      </c>
      <c r="H16">
        <v>1</v>
      </c>
      <c r="I16">
        <v>1</v>
      </c>
      <c r="J16" t="s">
        <v>8</v>
      </c>
      <c r="K16" t="s">
        <v>8</v>
      </c>
    </row>
    <row r="17" spans="2:11" x14ac:dyDescent="0.25">
      <c r="E17">
        <v>4</v>
      </c>
      <c r="F17" t="s">
        <v>31</v>
      </c>
      <c r="G17" t="s">
        <v>32</v>
      </c>
      <c r="H17">
        <v>1</v>
      </c>
      <c r="I17">
        <v>1</v>
      </c>
      <c r="J17" t="s">
        <v>8</v>
      </c>
      <c r="K17" t="s">
        <v>8</v>
      </c>
    </row>
    <row r="18" spans="2:11" x14ac:dyDescent="0.25">
      <c r="E18">
        <v>5</v>
      </c>
      <c r="F18" t="s">
        <v>33</v>
      </c>
      <c r="G18" t="s">
        <v>34</v>
      </c>
      <c r="H18">
        <v>1</v>
      </c>
      <c r="I18">
        <v>1</v>
      </c>
      <c r="J18" t="s">
        <v>8</v>
      </c>
      <c r="K18" t="s">
        <v>8</v>
      </c>
    </row>
    <row r="19" spans="2:11" x14ac:dyDescent="0.25">
      <c r="B19" t="s">
        <v>31</v>
      </c>
      <c r="C19">
        <f>VLOOKUP(B19,A1:B10,2,FALSE)</f>
        <v>4</v>
      </c>
      <c r="E19">
        <v>6</v>
      </c>
      <c r="F19" t="s">
        <v>35</v>
      </c>
      <c r="G19" t="s">
        <v>36</v>
      </c>
      <c r="H19">
        <v>1</v>
      </c>
      <c r="I19">
        <v>1</v>
      </c>
      <c r="J19" t="s">
        <v>8</v>
      </c>
      <c r="K19" t="s">
        <v>8</v>
      </c>
    </row>
    <row r="20" spans="2:11" x14ac:dyDescent="0.25">
      <c r="E20">
        <v>7</v>
      </c>
      <c r="F20" t="s">
        <v>37</v>
      </c>
      <c r="G20" t="s">
        <v>38</v>
      </c>
      <c r="H20">
        <v>1</v>
      </c>
      <c r="I20">
        <v>1</v>
      </c>
      <c r="J20" t="s">
        <v>8</v>
      </c>
      <c r="K20" t="s">
        <v>8</v>
      </c>
    </row>
    <row r="21" spans="2:11" x14ac:dyDescent="0.25">
      <c r="E21">
        <v>8</v>
      </c>
      <c r="F21" t="s">
        <v>39</v>
      </c>
      <c r="G21" t="s">
        <v>40</v>
      </c>
      <c r="H21">
        <v>1</v>
      </c>
      <c r="I21">
        <v>1</v>
      </c>
      <c r="J21" t="s">
        <v>8</v>
      </c>
      <c r="K21" t="s">
        <v>8</v>
      </c>
    </row>
    <row r="22" spans="2:11" x14ac:dyDescent="0.25">
      <c r="E22">
        <v>9</v>
      </c>
      <c r="F22" t="s">
        <v>41</v>
      </c>
      <c r="G22" t="s">
        <v>42</v>
      </c>
      <c r="H22">
        <v>1</v>
      </c>
      <c r="I22">
        <v>1</v>
      </c>
      <c r="J22" t="s">
        <v>8</v>
      </c>
      <c r="K22" t="s">
        <v>8</v>
      </c>
    </row>
    <row r="23" spans="2:11" x14ac:dyDescent="0.25">
      <c r="E23">
        <v>10</v>
      </c>
      <c r="F23" t="s">
        <v>43</v>
      </c>
      <c r="G23" t="s">
        <v>44</v>
      </c>
      <c r="H23">
        <v>1</v>
      </c>
      <c r="I23">
        <v>1</v>
      </c>
      <c r="J23" t="s">
        <v>8</v>
      </c>
      <c r="K23"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72A98-A47C-423B-98D0-36750CD6D3DC}">
  <dimension ref="A1:O18"/>
  <sheetViews>
    <sheetView tabSelected="1" zoomScale="70" zoomScaleNormal="70" workbookViewId="0">
      <selection activeCell="A3" sqref="A3"/>
    </sheetView>
  </sheetViews>
  <sheetFormatPr defaultRowHeight="15" x14ac:dyDescent="0.25"/>
  <cols>
    <col min="1" max="1" width="5.42578125" customWidth="1"/>
    <col min="2" max="2" width="2.85546875" bestFit="1" customWidth="1"/>
    <col min="4" max="4" width="19.28515625" bestFit="1" customWidth="1"/>
    <col min="7" max="7" width="12.85546875" bestFit="1" customWidth="1"/>
    <col min="8" max="8" width="15" bestFit="1" customWidth="1"/>
    <col min="9" max="9" width="28" bestFit="1" customWidth="1"/>
    <col min="10" max="10" width="5" bestFit="1" customWidth="1"/>
    <col min="11" max="11" width="8.42578125" bestFit="1" customWidth="1"/>
    <col min="13" max="13" width="15.5703125" customWidth="1"/>
    <col min="14" max="14" width="7.7109375" bestFit="1" customWidth="1"/>
    <col min="15" max="17" width="15.5703125" customWidth="1"/>
    <col min="18" max="18" width="32.140625" customWidth="1"/>
  </cols>
  <sheetData>
    <row r="1" spans="1:15" s="4" customFormat="1" x14ac:dyDescent="0.25">
      <c r="A1" s="4" t="s">
        <v>78</v>
      </c>
      <c r="B1" s="4" t="s">
        <v>12</v>
      </c>
      <c r="C1" s="4" t="s">
        <v>13</v>
      </c>
      <c r="D1" s="4" t="s">
        <v>24</v>
      </c>
      <c r="E1" s="4" t="s">
        <v>14</v>
      </c>
      <c r="F1" s="4" t="s">
        <v>15</v>
      </c>
      <c r="G1" s="4" t="s">
        <v>16</v>
      </c>
      <c r="H1" s="4" t="s">
        <v>17</v>
      </c>
      <c r="I1" s="4" t="s">
        <v>18</v>
      </c>
      <c r="J1" s="4" t="s">
        <v>19</v>
      </c>
      <c r="K1" s="4" t="s">
        <v>20</v>
      </c>
      <c r="L1" s="4" t="s">
        <v>23</v>
      </c>
      <c r="M1" s="4" t="s">
        <v>22</v>
      </c>
      <c r="N1" s="4" t="s">
        <v>21</v>
      </c>
      <c r="O1" s="4" t="s">
        <v>81</v>
      </c>
    </row>
    <row r="2" spans="1:15" s="5" customFormat="1" x14ac:dyDescent="0.25">
      <c r="B2" s="5">
        <v>1</v>
      </c>
      <c r="C2" s="5" t="s">
        <v>0</v>
      </c>
      <c r="D2" s="5" t="s">
        <v>11</v>
      </c>
      <c r="E2" s="5" t="s">
        <v>1</v>
      </c>
      <c r="F2" s="5" t="s">
        <v>2</v>
      </c>
      <c r="G2" s="5" t="s">
        <v>3</v>
      </c>
      <c r="H2" s="5" t="s">
        <v>4</v>
      </c>
      <c r="I2" s="5" t="s">
        <v>5</v>
      </c>
      <c r="J2" s="5" t="s">
        <v>6</v>
      </c>
      <c r="K2" s="5" t="s">
        <v>7</v>
      </c>
      <c r="L2" s="5" t="s">
        <v>10</v>
      </c>
      <c r="M2" s="5" t="s">
        <v>9</v>
      </c>
    </row>
    <row r="3" spans="1:15" ht="24" x14ac:dyDescent="0.45">
      <c r="A3" s="6" t="str">
        <f>_xlfn.CONCAT("(N'",C3,"',N'", TRIM(D3),"',N'", E3, "',N'", F3,"',N'",TRIM(G3),"',N'",TRIM(H3),"',N'", TRIM(I3), "',N'", J3, "',N'", K3, "',N'", L3, "',N'", M3,"',",N3,"),")</f>
        <v>(N'Jog',N'Audav–Shadav',N'Late night (2nd prahar of night)',N'Romantic, Mysterious',N'S G M P n Ṡ',N'Ṡ n P M G M g S, S',N'G M P, n P, M G M g S',N'M',N'S',N'M S n',N'Jog is special because it uses both shuddha and komal Ga, giving it a unique and haunting sweetness.',4),</v>
      </c>
      <c r="C3" t="s">
        <v>45</v>
      </c>
      <c r="D3" t="s">
        <v>79</v>
      </c>
      <c r="E3" t="s">
        <v>80</v>
      </c>
      <c r="F3" t="s">
        <v>82</v>
      </c>
      <c r="G3" t="s">
        <v>83</v>
      </c>
      <c r="H3" t="s">
        <v>111</v>
      </c>
      <c r="I3" t="s">
        <v>85</v>
      </c>
      <c r="J3" t="s">
        <v>84</v>
      </c>
      <c r="K3" t="s">
        <v>47</v>
      </c>
      <c r="L3" t="s">
        <v>86</v>
      </c>
      <c r="M3" t="s">
        <v>87</v>
      </c>
      <c r="N3" s="1">
        <f>VLOOKUP(O3,Thaat!$A$1:$B$10,2,FALSE)</f>
        <v>4</v>
      </c>
      <c r="O3" t="s">
        <v>31</v>
      </c>
    </row>
    <row r="4" spans="1:15" ht="24" customHeight="1" x14ac:dyDescent="0.45">
      <c r="A4" s="6"/>
      <c r="C4" t="s">
        <v>88</v>
      </c>
      <c r="D4" t="s">
        <v>89</v>
      </c>
      <c r="E4" t="s">
        <v>90</v>
      </c>
      <c r="F4" t="s">
        <v>91</v>
      </c>
      <c r="G4" t="s">
        <v>95</v>
      </c>
      <c r="H4" t="s">
        <v>96</v>
      </c>
      <c r="I4" t="s">
        <v>92</v>
      </c>
      <c r="J4" t="s">
        <v>6</v>
      </c>
      <c r="K4" t="s">
        <v>93</v>
      </c>
      <c r="L4" t="s">
        <v>94</v>
      </c>
      <c r="M4" t="s">
        <v>97</v>
      </c>
      <c r="N4" s="1">
        <f>VLOOKUP(O4,Thaat!$A$1:$B$10,2,FALSE)</f>
        <v>1</v>
      </c>
      <c r="O4" t="s">
        <v>25</v>
      </c>
    </row>
    <row r="5" spans="1:15" ht="26.25" customHeight="1" x14ac:dyDescent="0.45">
      <c r="A5" s="6"/>
      <c r="C5" t="s">
        <v>99</v>
      </c>
      <c r="D5" t="s">
        <v>98</v>
      </c>
      <c r="E5" t="s">
        <v>100</v>
      </c>
      <c r="F5" t="s">
        <v>101</v>
      </c>
      <c r="G5" t="s">
        <v>102</v>
      </c>
      <c r="H5" t="s">
        <v>76</v>
      </c>
      <c r="I5" t="s">
        <v>103</v>
      </c>
      <c r="J5" t="s">
        <v>84</v>
      </c>
      <c r="K5" t="s">
        <v>47</v>
      </c>
      <c r="L5" t="s">
        <v>86</v>
      </c>
      <c r="M5" s="7" t="s">
        <v>104</v>
      </c>
      <c r="N5" s="1">
        <f>VLOOKUP(O5,Thaat!$A$1:$B$10,2,FALSE)</f>
        <v>4</v>
      </c>
      <c r="O5" t="s">
        <v>31</v>
      </c>
    </row>
    <row r="6" spans="1:15" ht="24" x14ac:dyDescent="0.45">
      <c r="A6" s="6"/>
      <c r="C6" t="s">
        <v>105</v>
      </c>
      <c r="D6" t="s">
        <v>89</v>
      </c>
      <c r="E6" t="s">
        <v>108</v>
      </c>
      <c r="F6" t="s">
        <v>106</v>
      </c>
      <c r="G6" t="s">
        <v>117</v>
      </c>
      <c r="H6" t="s">
        <v>118</v>
      </c>
      <c r="I6" t="s">
        <v>107</v>
      </c>
      <c r="J6" t="s">
        <v>46</v>
      </c>
      <c r="K6" t="s">
        <v>47</v>
      </c>
      <c r="L6" t="s">
        <v>110</v>
      </c>
      <c r="M6" t="s">
        <v>109</v>
      </c>
      <c r="N6" s="1">
        <f>VLOOKUP(O6,Thaat!$A$1:$B$10,2,FALSE)</f>
        <v>4</v>
      </c>
      <c r="O6" t="s">
        <v>31</v>
      </c>
    </row>
    <row r="7" spans="1:15" ht="24" x14ac:dyDescent="0.45">
      <c r="A7" s="6"/>
      <c r="C7" t="s">
        <v>112</v>
      </c>
      <c r="D7" t="s">
        <v>113</v>
      </c>
      <c r="E7" t="s">
        <v>116</v>
      </c>
      <c r="G7" t="s">
        <v>119</v>
      </c>
      <c r="H7" t="s">
        <v>121</v>
      </c>
      <c r="I7" t="s">
        <v>120</v>
      </c>
      <c r="J7" t="s">
        <v>47</v>
      </c>
      <c r="K7" t="s">
        <v>46</v>
      </c>
      <c r="L7" t="s">
        <v>115</v>
      </c>
      <c r="M7" t="s">
        <v>114</v>
      </c>
      <c r="N7" s="1">
        <f>VLOOKUP(O7,Thaat!$A$1:$B$10,2,FALSE)</f>
        <v>1</v>
      </c>
      <c r="O7" t="s">
        <v>25</v>
      </c>
    </row>
    <row r="8" spans="1:15" ht="24" x14ac:dyDescent="0.45">
      <c r="A8" s="6"/>
      <c r="C8" t="s">
        <v>122</v>
      </c>
      <c r="D8" t="s">
        <v>124</v>
      </c>
      <c r="E8" t="s">
        <v>125</v>
      </c>
      <c r="F8" t="s">
        <v>126</v>
      </c>
      <c r="G8" t="s">
        <v>130</v>
      </c>
      <c r="H8" t="s">
        <v>131</v>
      </c>
      <c r="I8" t="s">
        <v>132</v>
      </c>
      <c r="J8" t="s">
        <v>6</v>
      </c>
      <c r="K8" t="s">
        <v>7</v>
      </c>
      <c r="L8" t="s">
        <v>123</v>
      </c>
      <c r="M8" t="s">
        <v>127</v>
      </c>
      <c r="N8" s="1">
        <f>VLOOKUP(O8,Thaat!$A$1:$B$10,2,FALSE)</f>
        <v>4</v>
      </c>
      <c r="O8" t="s">
        <v>31</v>
      </c>
    </row>
    <row r="9" spans="1:15" ht="24" x14ac:dyDescent="0.45">
      <c r="A9" s="6"/>
      <c r="C9" t="s">
        <v>136</v>
      </c>
      <c r="D9" t="s">
        <v>113</v>
      </c>
      <c r="E9" t="s">
        <v>116</v>
      </c>
      <c r="F9" t="s">
        <v>137</v>
      </c>
      <c r="G9" t="s">
        <v>133</v>
      </c>
      <c r="H9" t="s">
        <v>134</v>
      </c>
      <c r="I9" t="s">
        <v>135</v>
      </c>
      <c r="J9" t="s">
        <v>84</v>
      </c>
      <c r="K9" t="s">
        <v>47</v>
      </c>
      <c r="L9" t="s">
        <v>129</v>
      </c>
      <c r="M9" t="s">
        <v>128</v>
      </c>
      <c r="N9" s="1">
        <f>VLOOKUP(O9,Thaat!$A$1:$B$10,2,FALSE)</f>
        <v>1</v>
      </c>
      <c r="O9" t="s">
        <v>25</v>
      </c>
    </row>
    <row r="10" spans="1:15" ht="24" x14ac:dyDescent="0.45">
      <c r="N10" s="1" t="e">
        <f>VLOOKUP(O10,Thaat!$A$1:$B$10,2,FALSE)</f>
        <v>#N/A</v>
      </c>
    </row>
    <row r="11" spans="1:15" ht="24" x14ac:dyDescent="0.45">
      <c r="N11" s="1" t="e">
        <f>VLOOKUP(O11,Thaat!$A$1:$B$10,2,FALSE)</f>
        <v>#N/A</v>
      </c>
    </row>
    <row r="12" spans="1:15" ht="24" x14ac:dyDescent="0.45">
      <c r="N12" s="1" t="e">
        <f>VLOOKUP(O12,Thaat!$A$1:$B$10,2,FALSE)</f>
        <v>#N/A</v>
      </c>
    </row>
    <row r="13" spans="1:15" ht="24" x14ac:dyDescent="0.45">
      <c r="N13" s="1" t="e">
        <f>VLOOKUP(O13,Thaat!$A$1:$B$10,2,FALSE)</f>
        <v>#N/A</v>
      </c>
    </row>
    <row r="14" spans="1:15" ht="24" x14ac:dyDescent="0.45">
      <c r="N14" s="1" t="e">
        <f>VLOOKUP(O14,Thaat!$A$1:$B$10,2,FALSE)</f>
        <v>#N/A</v>
      </c>
    </row>
    <row r="15" spans="1:15" ht="24" x14ac:dyDescent="0.45">
      <c r="N15" s="1" t="e">
        <f>VLOOKUP(O15,Thaat!$A$1:$B$10,2,FALSE)</f>
        <v>#N/A</v>
      </c>
    </row>
    <row r="16" spans="1:15" ht="24" x14ac:dyDescent="0.45">
      <c r="N16" s="1" t="e">
        <f>VLOOKUP(O16,Thaat!$A$1:$B$10,2,FALSE)</f>
        <v>#N/A</v>
      </c>
    </row>
    <row r="17" spans="14:14" ht="24" x14ac:dyDescent="0.45">
      <c r="N17" s="1" t="e">
        <f>VLOOKUP(O17,Thaat!$A$1:$B$10,2,FALSE)</f>
        <v>#N/A</v>
      </c>
    </row>
    <row r="18" spans="14:14" ht="24" x14ac:dyDescent="0.45">
      <c r="N18" s="1" t="e">
        <f>VLOOKUP(O18,Thaat!$A$1:$B$10,2,FALSE)</f>
        <v>#N/A</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Thaat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Kishor Tripathy</dc:creator>
  <cp:lastModifiedBy>Kishor Tripathy</cp:lastModifiedBy>
  <dcterms:created xsi:type="dcterms:W3CDTF">2025-09-20T05:20:37Z</dcterms:created>
  <dcterms:modified xsi:type="dcterms:W3CDTF">2025-09-20T12:36:17Z</dcterms:modified>
</cp:coreProperties>
</file>